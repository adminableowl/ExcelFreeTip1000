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D:\d\Mag\FreeTips\Tip1000\"/>
    </mc:Choice>
  </mc:AlternateContent>
  <xr:revisionPtr revIDLastSave="0" documentId="8_{F9C96A88-256B-497B-9698-A1D6F7D68EDB}" xr6:coauthVersionLast="47" xr6:coauthVersionMax="47" xr10:uidLastSave="{00000000-0000-0000-0000-000000000000}"/>
  <bookViews>
    <workbookView xWindow="-98" yWindow="-98" windowWidth="28996" windowHeight="15796" activeTab="2" xr2:uid="{00000000-000D-0000-FFFF-FFFF00000000}"/>
  </bookViews>
  <sheets>
    <sheet name="Guide" sheetId="2" r:id="rId1"/>
    <sheet name="Params" sheetId="3" r:id="rId2"/>
    <sheet name="iDatabase" sheetId="1" r:id="rId3"/>
  </sheets>
  <definedNames>
    <definedName name="aaCalcs">iDatabase!$L$35</definedName>
    <definedName name="aaImported">iDatabase!$L$15</definedName>
    <definedName name="aaInputs">iDatabase!$L$19</definedName>
    <definedName name="aaLinked">iDatabase!$L$30</definedName>
    <definedName name="afbGuide">Guide!$A$1:$B$4</definedName>
    <definedName name="afbParams">Params!$A$1:$A$4</definedName>
    <definedName name="afbSheet" localSheetId="2">iDatabase!$K$11:$L$14</definedName>
    <definedName name="cInputs">iDatabase!$K$19:$P$30</definedName>
    <definedName name="fQtr">iDatabase!$Q$8</definedName>
    <definedName name="gCreator">Guide!$C$9</definedName>
    <definedName name="gProcedures">Guide!$A$18</definedName>
    <definedName name="gPurpose">Guide!$C$6</definedName>
    <definedName name="kAppName">Params!$B$6</definedName>
    <definedName name="kCrosscheckMsg">Params!$B$10</definedName>
    <definedName name="kCrosscheckTolerance">Params!$B$9</definedName>
    <definedName name="kHideWebToolbar">Params!$B$12</definedName>
    <definedName name="kNow">Params!$B$11</definedName>
    <definedName name="kOrgName">Params!$B$8</definedName>
    <definedName name="kVersion">Params!$B$7</definedName>
    <definedName name="_xlnm.Print_Area" localSheetId="2">iDatabase!$K$11:$R$39</definedName>
    <definedName name="_xlnm.Print_Titles" localSheetId="0">Guide!$1:$4</definedName>
    <definedName name="_xlnm.Print_Titles" localSheetId="1">Params!$1:$4</definedName>
    <definedName name="ttSheet" localSheetId="0">Guide!$A$4:$D$4</definedName>
    <definedName name="ttSheet" localSheetId="2">iDatabase!$K$14:$R$14</definedName>
  </definedNames>
  <calcPr calcId="191029" iterateCount="1"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8" i="1" l="1"/>
  <c r="B11" i="3"/>
  <c r="M12" i="1" s="1"/>
  <c r="M11" i="1"/>
  <c r="Q34" i="1"/>
  <c r="Q33" i="1"/>
  <c r="Q24" i="1"/>
  <c r="Q23" i="1"/>
  <c r="Q21" i="1"/>
  <c r="Q18" i="1"/>
  <c r="Q17" i="1"/>
  <c r="Q16" i="1"/>
  <c r="A2" i="3"/>
  <c r="C8" i="2"/>
  <c r="A3" i="2"/>
  <c r="A2" i="2"/>
  <c r="C7"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Oulton</author>
  </authors>
  <commentList>
    <comment ref="A12" authorId="0" shapeId="0" xr:uid="{00000000-0006-0000-0100-000001000000}">
      <text>
        <r>
          <rPr>
            <sz val="8"/>
            <color indexed="81"/>
            <rFont val="Tahoma"/>
            <family val="2"/>
          </rPr>
          <t>Hide Web toolbar when file opens.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Oulton</author>
  </authors>
  <commentList>
    <comment ref="Q7" authorId="0" shapeId="0" xr:uid="{00000000-0006-0000-0200-000001000000}">
      <text>
        <r>
          <rPr>
            <sz val="9"/>
            <color indexed="81"/>
            <rFont val="Tahoma"/>
            <family val="2"/>
          </rPr>
          <t xml:space="preserve">In case formulae in the table below get lost, keep a copy here. This formula is so simple, it is not necessary to have it, but there are many cases where the formula is more complex.
</t>
        </r>
      </text>
    </comment>
  </commentList>
</comments>
</file>

<file path=xl/sharedStrings.xml><?xml version="1.0" encoding="utf-8"?>
<sst xmlns="http://schemas.openxmlformats.org/spreadsheetml/2006/main" count="137" uniqueCount="118">
  <si>
    <t>Calculations</t>
  </si>
  <si>
    <t>SalaryWageTotalFACT</t>
  </si>
  <si>
    <t>Manufacturing salary &amp; wage</t>
  </si>
  <si>
    <t>FringeBenefitsFACT</t>
  </si>
  <si>
    <t>Manufacturing fringe benefits</t>
  </si>
  <si>
    <t>Aggregatations of values above</t>
  </si>
  <si>
    <t>Database</t>
  </si>
  <si>
    <t>Guide</t>
  </si>
  <si>
    <t>Overview</t>
  </si>
  <si>
    <t>Workbook purpose</t>
  </si>
  <si>
    <t>File name</t>
  </si>
  <si>
    <t>Version</t>
  </si>
  <si>
    <t>Who created/modified</t>
  </si>
  <si>
    <t>Modifications</t>
  </si>
  <si>
    <t>References</t>
  </si>
  <si>
    <t>Input-Process-Output</t>
  </si>
  <si>
    <t>Data sources</t>
  </si>
  <si>
    <t>Data inputs</t>
  </si>
  <si>
    <t>Process/Calcs</t>
  </si>
  <si>
    <t>Reports</t>
  </si>
  <si>
    <t>Outputs</t>
  </si>
  <si>
    <t>None</t>
  </si>
  <si>
    <t>Procedures</t>
  </si>
  <si>
    <t>Usage tasks</t>
  </si>
  <si>
    <t>1)</t>
  </si>
  <si>
    <t>2)</t>
  </si>
  <si>
    <t>Maintenance tasks</t>
  </si>
  <si>
    <t>3)</t>
  </si>
  <si>
    <t>Paul Oulton</t>
  </si>
  <si>
    <t>Key parameters</t>
  </si>
  <si>
    <t>Application name</t>
  </si>
  <si>
    <t>Organisation name</t>
  </si>
  <si>
    <t>Crosscheck tolerance</t>
  </si>
  <si>
    <t>Crosscheck text</t>
  </si>
  <si>
    <t>Crosscheck error!</t>
  </si>
  <si>
    <t>Now</t>
  </si>
  <si>
    <t>HideWebToolbar</t>
  </si>
  <si>
    <t>17-Jul-2008A</t>
  </si>
  <si>
    <t>Demonstration of navigational shortcuts</t>
  </si>
  <si>
    <t>N/A</t>
  </si>
  <si>
    <t>Demo mouse control</t>
  </si>
  <si>
    <t>Demo mouse speeds by selecting inputs range in iDatabase</t>
  </si>
  <si>
    <t>Go to iDatabase!L14</t>
  </si>
  <si>
    <t>Qtr1</t>
  </si>
  <si>
    <t>OpenBal</t>
  </si>
  <si>
    <t>Demo going to end of range</t>
  </si>
  <si>
    <t>Press Ctrl+Down, Ctrl+Up, Ctrl+Right</t>
  </si>
  <si>
    <t>Navigation</t>
  </si>
  <si>
    <t>AbleOwl © 2008</t>
  </si>
  <si>
    <t>Go to iDatabase!K16</t>
  </si>
  <si>
    <t>Press End Enter</t>
  </si>
  <si>
    <t xml:space="preserve">Demo going to last and first column </t>
  </si>
  <si>
    <t>Press Home</t>
  </si>
  <si>
    <t>Demo going to top left</t>
  </si>
  <si>
    <t>Press Ctrl+Home</t>
  </si>
  <si>
    <t>Demo going to bottom right</t>
  </si>
  <si>
    <t>Press Ctrl+End</t>
  </si>
  <si>
    <t>Demo selecting report range</t>
  </si>
  <si>
    <t>Hold down Shift and press Ctrl+End</t>
  </si>
  <si>
    <t>Demo selecting range within report</t>
  </si>
  <si>
    <t>Hold down Shift and press End Enter</t>
  </si>
  <si>
    <t>Keeping Shift down, press Ctrl+Down.</t>
  </si>
  <si>
    <t>This is better demonstrated in BigSheetNavigate.xls</t>
  </si>
  <si>
    <t>Go to iDatabase!K11</t>
  </si>
  <si>
    <t>See Excel help screen Keyboard shortcuts</t>
  </si>
  <si>
    <t>Paul Oulton 18/7/08 Added aa range names in case it is appropriate to cover that method of navigating at some point. F5 Tab aal Enter, for example, goes to aaLinked. F5 Enter to return.</t>
  </si>
  <si>
    <t>Posting_code</t>
  </si>
  <si>
    <t>Description</t>
  </si>
  <si>
    <t>Jan</t>
  </si>
  <si>
    <t>Feb</t>
  </si>
  <si>
    <t>Mar</t>
  </si>
  <si>
    <t>PL single month values, BS balances --&gt;</t>
  </si>
  <si>
    <t>Imported data</t>
  </si>
  <si>
    <t>01-95-299999-00</t>
  </si>
  <si>
    <t>Stat Clear     PROD - Clearing</t>
  </si>
  <si>
    <t>05-20-510000-00</t>
  </si>
  <si>
    <t>05-20-510005-00</t>
  </si>
  <si>
    <t>LIQ</t>
  </si>
  <si>
    <t>Actual month 12 (Dec-07)</t>
  </si>
  <si>
    <t>Inputs</t>
  </si>
  <si>
    <t>Adjustments</t>
  </si>
  <si>
    <t>Tonnes</t>
  </si>
  <si>
    <t>TonnesHOT</t>
  </si>
  <si>
    <t>TonnesLIQ</t>
  </si>
  <si>
    <t>99-01-218255-00</t>
  </si>
  <si>
    <t xml:space="preserve">GEN-BSGE-Salaries Control     </t>
  </si>
  <si>
    <t>CHL-SALE-Sales-3rd Party</t>
  </si>
  <si>
    <t>CHL-SALE-Sales-IC</t>
  </si>
  <si>
    <t>TonnesCHL</t>
  </si>
  <si>
    <t>CHL</t>
  </si>
  <si>
    <t>Awanui</t>
  </si>
  <si>
    <t>Found. Aust</t>
  </si>
  <si>
    <t>Splits %</t>
  </si>
  <si>
    <t>Factory</t>
  </si>
  <si>
    <t>SplitPctFACTHOT</t>
  </si>
  <si>
    <t>SplitPctFACTLIQ</t>
  </si>
  <si>
    <t>Linked data</t>
  </si>
  <si>
    <t>Intercompany</t>
  </si>
  <si>
    <t>Inter company sales by division</t>
  </si>
  <si>
    <t>IcoSalHOT205165</t>
  </si>
  <si>
    <t>IcoSalHOT928390</t>
  </si>
  <si>
    <t>Formula below</t>
  </si>
  <si>
    <t>Period01</t>
  </si>
  <si>
    <t>Period02</t>
  </si>
  <si>
    <t>Period03</t>
  </si>
  <si>
    <t>PeriodQ1</t>
  </si>
  <si>
    <t>Open</t>
  </si>
  <si>
    <t>Code</t>
  </si>
  <si>
    <t>Titles used by formulae on other sheets</t>
  </si>
  <si>
    <t>All inputs for the model are in this area</t>
  </si>
  <si>
    <t>Text file imported from ACCTRAN system</t>
  </si>
  <si>
    <t>Data from other workbooks</t>
  </si>
  <si>
    <t>The imported data comes from ACCTRAN as text files. Find the text files in folder</t>
  </si>
  <si>
    <t>f:\data\production\reporting\2008</t>
  </si>
  <si>
    <t>The numbered codes are GL codes.The other codes are created for this application.</t>
  </si>
  <si>
    <t>Opening balances as at 31/12.</t>
  </si>
  <si>
    <t>Copy the cell named fQtr to the right of the imported data.</t>
  </si>
  <si>
    <t>Additional sheet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</si>
</sst>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164" formatCode="#,##0_);\(#,##0\);0_);* @_)"/>
    <numFmt numFmtId="165" formatCode="#,##0.0_);\(#,##0.0\);0.0_);* @_)"/>
    <numFmt numFmtId="166" formatCode="#,##0.00_);\(#,##0.00\);0.00_);* @_)"/>
    <numFmt numFmtId="167" formatCode="#,##0.000_);\(#,##0.000\);0.000_);* @_)"/>
    <numFmt numFmtId="168" formatCode="#,##0.0000_);\(#,##0.0000\);0.0000_);* @_)"/>
    <numFmt numFmtId="169" formatCode="0;\-0;0;* @"/>
    <numFmt numFmtId="170" formatCode="0%;\-0%;0%;* @_%"/>
    <numFmt numFmtId="171" formatCode="0.0%;\-0.0%;0.0%;* @_%"/>
    <numFmt numFmtId="172" formatCode="0.00%;\-0.00%;0.00%;* @_%"/>
    <numFmt numFmtId="173" formatCode="0.000%;\-0.000%;0.000%;* @_%"/>
    <numFmt numFmtId="174" formatCode="&quot;$&quot;* #,##0_);&quot;$&quot;* \(#,##0\);&quot;$&quot;* 0_);* @_)"/>
    <numFmt numFmtId="175" formatCode="&quot;$&quot;* #,##0.0_);&quot;$&quot;* \(#,##0.0\);&quot;$&quot;* 0.0_);* @_)"/>
    <numFmt numFmtId="176" formatCode="&quot;$&quot;* #,##0.00_);&quot;$&quot;* \(#,##0.00\);&quot;$&quot;* 0.00_);* @_)"/>
    <numFmt numFmtId="177" formatCode="&quot;$&quot;* #,##0.000_);&quot;$&quot;* \(#,##0.000\);&quot;$&quot;* 0.000_);* @_)"/>
    <numFmt numFmtId="178" formatCode="&quot;$&quot;* #,##0.0000_);&quot;$&quot;* \(#,##0.0000\);&quot;$&quot;* 0.0000_);* @_)"/>
    <numFmt numFmtId="179" formatCode="d\-mmm\-yyyy;[Red]&quot;Not date&quot;;&quot;-&quot;;[Red]* &quot;Not date&quot;"/>
    <numFmt numFmtId="180" formatCode="d\-mmm\-yyyy\ h:mm\ AM/PM;[Red]* &quot;Not date&quot;;&quot;-&quot;;[Red]* &quot;Not date&quot;"/>
    <numFmt numFmtId="181" formatCode="d/mm/yyyy;[Red]* &quot;Not date&quot;;&quot;-&quot;;[Red]* &quot;Not date&quot;"/>
    <numFmt numFmtId="182" formatCode="mmm\-yy;[Red]* &quot;Not date&quot;;&quot;-&quot;;[Red]* &quot;Not date&quot;"/>
    <numFmt numFmtId="183" formatCode="h:mm\ AM/PM;[Red]* &quot;Not time&quot;;\-;[Red]* &quot;Not time&quot;"/>
    <numFmt numFmtId="184" formatCode="[h]:mm;[Red]* &quot;Not time&quot;;[h]:mm;[Red]* &quot;Not time&quot;"/>
    <numFmt numFmtId="185" formatCode="d\-mmm\-yyyy;[Red]* &quot;Not date&quot;;&quot;-&quot;;[Red]* &quot;Not date&quot;"/>
    <numFmt numFmtId="186" formatCode="d\-mmm\-yyyy\ h:mm\ AM/PM;[Red]* &quot;Not time&quot;;0;[Red]* &quot;Not time&quot;"/>
    <numFmt numFmtId="187" formatCode="mm/dd/yyyy;[Red]* &quot;Not date&quot;;&quot;-&quot;;[Red]* &quot;Not date&quot;"/>
    <numFmt numFmtId="188" formatCode="00\-00\-000000\-00"/>
    <numFmt numFmtId="189" formatCode="d\-mmm;[Red]&quot;Not date&quot;;&quot;-&quot;;[Red]* &quot;Not date&quot;"/>
    <numFmt numFmtId="190" formatCode="#,##0,_);\(#,##0,\);0_);* @_)"/>
    <numFmt numFmtId="191" formatCode="#,##0,,_);\(#,##0,,\);0_);* @_)"/>
    <numFmt numFmtId="192" formatCode="\$* #,##0,_);\$* \(#,##0,\);\$* 0_);* @_)"/>
    <numFmt numFmtId="193" formatCode="\$* #,##0,,_);\$* \(#,##0,,\);\$* 0_);* @_)"/>
  </numFmts>
  <fonts count="16" x14ac:knownFonts="1">
    <font>
      <sz val="8"/>
      <name val="Arial"/>
    </font>
    <font>
      <sz val="8"/>
      <name val="Arial"/>
      <family val="2"/>
    </font>
    <font>
      <sz val="8"/>
      <color indexed="12"/>
      <name val="Arial"/>
      <family val="2"/>
    </font>
    <font>
      <sz val="8"/>
      <color indexed="8"/>
      <name val="Arial"/>
      <family val="2"/>
    </font>
    <font>
      <b/>
      <sz val="10"/>
      <name val="Arial"/>
      <family val="2"/>
    </font>
    <font>
      <b/>
      <sz val="8"/>
      <name val="Arial"/>
      <family val="2"/>
    </font>
    <font>
      <b/>
      <sz val="12"/>
      <name val="Arial"/>
      <family val="2"/>
    </font>
    <font>
      <u/>
      <sz val="8"/>
      <color indexed="12"/>
      <name val="Arial"/>
      <family val="2"/>
    </font>
    <font>
      <b/>
      <sz val="8"/>
      <color indexed="12"/>
      <name val="Arial"/>
      <family val="2"/>
    </font>
    <font>
      <b/>
      <sz val="14"/>
      <name val="Arial"/>
      <family val="2"/>
    </font>
    <font>
      <b/>
      <sz val="8"/>
      <name val="Arial"/>
      <family val="2"/>
    </font>
    <font>
      <sz val="8"/>
      <name val="Arial"/>
      <family val="2"/>
    </font>
    <font>
      <sz val="8"/>
      <color indexed="12"/>
      <name val="Arial"/>
      <family val="2"/>
    </font>
    <font>
      <sz val="8"/>
      <color indexed="63"/>
      <name val="Arial"/>
      <family val="2"/>
    </font>
    <font>
      <sz val="8"/>
      <color indexed="81"/>
      <name val="Tahoma"/>
      <family val="2"/>
    </font>
    <font>
      <sz val="9"/>
      <color indexed="81"/>
      <name val="Tahoma"/>
      <family val="2"/>
    </font>
  </fonts>
  <fills count="5">
    <fill>
      <patternFill patternType="none"/>
    </fill>
    <fill>
      <patternFill patternType="gray125"/>
    </fill>
    <fill>
      <patternFill patternType="solid">
        <fgColor indexed="42"/>
        <bgColor indexed="64"/>
      </patternFill>
    </fill>
    <fill>
      <patternFill patternType="solid">
        <fgColor indexed="23"/>
        <bgColor indexed="64"/>
      </patternFill>
    </fill>
    <fill>
      <patternFill patternType="solid">
        <fgColor indexed="55"/>
        <bgColor indexed="64"/>
      </patternFill>
    </fill>
  </fills>
  <borders count="9">
    <border>
      <left/>
      <right/>
      <top/>
      <bottom/>
      <diagonal/>
    </border>
    <border>
      <left style="medium">
        <color indexed="64"/>
      </left>
      <right/>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92">
    <xf numFmtId="0" fontId="0" fillId="0" borderId="0" applyFill="0" applyBorder="0"/>
    <xf numFmtId="164" fontId="1" fillId="0" borderId="0" applyFill="0" applyBorder="0">
      <alignment vertical="top"/>
    </xf>
    <xf numFmtId="190" fontId="11" fillId="0" borderId="0" applyFill="0" applyBorder="0">
      <alignment vertical="top"/>
    </xf>
    <xf numFmtId="191" fontId="11" fillId="0" borderId="0" applyFill="0" applyBorder="0">
      <alignment vertical="top"/>
    </xf>
    <xf numFmtId="165" fontId="1" fillId="0" borderId="0" applyFill="0" applyBorder="0">
      <alignment vertical="top"/>
    </xf>
    <xf numFmtId="166" fontId="1" fillId="0" borderId="0" applyFill="0" applyBorder="0">
      <alignment vertical="top"/>
    </xf>
    <xf numFmtId="167" fontId="1" fillId="0" borderId="0" applyFill="0" applyBorder="0">
      <alignment vertical="top"/>
    </xf>
    <xf numFmtId="168" fontId="1" fillId="0" borderId="0" applyFill="0" applyBorder="0">
      <alignment vertical="top"/>
    </xf>
    <xf numFmtId="189" fontId="1" fillId="0" borderId="0" applyFill="0" applyBorder="0">
      <alignment vertical="top"/>
    </xf>
    <xf numFmtId="179" fontId="1" fillId="0" borderId="0" applyFill="0" applyBorder="0">
      <alignment vertical="top"/>
    </xf>
    <xf numFmtId="180" fontId="1" fillId="0" borderId="0" applyFill="0" applyBorder="0">
      <alignment vertical="top"/>
    </xf>
    <xf numFmtId="181" fontId="1" fillId="0" borderId="0" applyFill="0" applyBorder="0">
      <alignment vertical="top"/>
    </xf>
    <xf numFmtId="187" fontId="1" fillId="0" borderId="0" applyFill="0" applyBorder="0">
      <alignment vertical="top"/>
    </xf>
    <xf numFmtId="182" fontId="1" fillId="0" borderId="0" applyFill="0" applyBorder="0">
      <alignment vertical="top"/>
    </xf>
    <xf numFmtId="182" fontId="1" fillId="0" borderId="0" applyFill="0" applyBorder="0">
      <alignment horizontal="center" vertical="top"/>
    </xf>
    <xf numFmtId="169" fontId="1" fillId="0" borderId="0" applyFill="0" applyBorder="0">
      <alignment vertical="top"/>
    </xf>
    <xf numFmtId="183" fontId="1" fillId="0" borderId="0" applyFill="0" applyBorder="0">
      <alignment vertical="top"/>
    </xf>
    <xf numFmtId="184" fontId="1" fillId="0" borderId="0" applyFill="0" applyBorder="0">
      <alignment vertical="top"/>
    </xf>
    <xf numFmtId="188" fontId="1" fillId="0" borderId="1" applyBorder="0"/>
    <xf numFmtId="170" fontId="1" fillId="0" borderId="0" applyFill="0" applyBorder="0">
      <alignment vertical="top"/>
    </xf>
    <xf numFmtId="171" fontId="3" fillId="0" borderId="0" applyFill="0" applyBorder="0">
      <alignment vertical="top"/>
    </xf>
    <xf numFmtId="172" fontId="1" fillId="0" borderId="0" applyFill="0" applyBorder="0">
      <alignment vertical="top"/>
    </xf>
    <xf numFmtId="173" fontId="1" fillId="0" borderId="0" applyFill="0" applyBorder="0">
      <alignment vertical="top"/>
    </xf>
    <xf numFmtId="174" fontId="1" fillId="0" borderId="0" applyFill="0" applyBorder="0">
      <alignment vertical="top"/>
    </xf>
    <xf numFmtId="192" fontId="11" fillId="0" borderId="0" applyFill="0" applyBorder="0">
      <alignment vertical="top"/>
    </xf>
    <xf numFmtId="193" fontId="11" fillId="0" borderId="0" applyFill="0" applyBorder="0">
      <alignment vertical="top"/>
    </xf>
    <xf numFmtId="175" fontId="1" fillId="0" borderId="0" applyFill="0" applyBorder="0">
      <alignment vertical="top"/>
    </xf>
    <xf numFmtId="176" fontId="1" fillId="0" borderId="0" applyFill="0" applyBorder="0">
      <alignment vertical="top"/>
    </xf>
    <xf numFmtId="177" fontId="1" fillId="0" borderId="0" applyFill="0" applyBorder="0">
      <alignment vertical="top"/>
    </xf>
    <xf numFmtId="178" fontId="1" fillId="0" borderId="0" applyFill="0" applyBorder="0">
      <alignment vertical="top"/>
    </xf>
    <xf numFmtId="0" fontId="9" fillId="0" borderId="0" applyFill="0" applyBorder="0">
      <alignment vertical="top"/>
    </xf>
    <xf numFmtId="0" fontId="6" fillId="0" borderId="0" applyFill="0" applyBorder="0">
      <alignment vertical="top"/>
    </xf>
    <xf numFmtId="0" fontId="4" fillId="0" borderId="0" applyFill="0" applyBorder="0">
      <alignment vertical="top"/>
    </xf>
    <xf numFmtId="0" fontId="5" fillId="0" borderId="0" applyFill="0" applyBorder="0">
      <alignment vertical="top"/>
    </xf>
    <xf numFmtId="0" fontId="7" fillId="0" borderId="0" applyFill="0" applyBorder="0">
      <alignment horizontal="left" vertical="top"/>
      <protection hidden="1"/>
    </xf>
    <xf numFmtId="0" fontId="7" fillId="0" borderId="0" applyFill="0" applyBorder="0">
      <alignment horizontal="left" vertical="top" indent="1"/>
      <protection hidden="1"/>
    </xf>
    <xf numFmtId="0" fontId="7" fillId="0" borderId="0" applyFill="0" applyBorder="0">
      <alignment horizontal="left" vertical="top" indent="2"/>
      <protection hidden="1"/>
    </xf>
    <xf numFmtId="0" fontId="7" fillId="0" borderId="0" applyFill="0" applyBorder="0">
      <alignment horizontal="left" vertical="top" indent="3"/>
      <protection hidden="1"/>
    </xf>
    <xf numFmtId="164" fontId="2" fillId="0" borderId="0" applyFill="0" applyBorder="0">
      <alignment vertical="top"/>
      <protection locked="0"/>
    </xf>
    <xf numFmtId="190" fontId="12" fillId="0" borderId="0" applyFill="0" applyBorder="0">
      <alignment vertical="top"/>
      <protection locked="0"/>
    </xf>
    <xf numFmtId="191" fontId="12" fillId="0" borderId="0" applyFill="0" applyBorder="0">
      <alignment vertical="top"/>
      <protection locked="0"/>
    </xf>
    <xf numFmtId="165" fontId="2" fillId="0" borderId="0" applyFill="0" applyBorder="0">
      <alignment vertical="top"/>
      <protection locked="0"/>
    </xf>
    <xf numFmtId="166" fontId="2" fillId="0" borderId="0" applyFill="0" applyBorder="0">
      <alignment vertical="top"/>
      <protection locked="0"/>
    </xf>
    <xf numFmtId="167" fontId="2" fillId="0" borderId="0" applyFill="0" applyBorder="0">
      <alignment vertical="top"/>
      <protection locked="0"/>
    </xf>
    <xf numFmtId="168" fontId="2" fillId="0" borderId="0" applyFill="0" applyBorder="0">
      <alignment vertical="top"/>
      <protection locked="0"/>
    </xf>
    <xf numFmtId="189" fontId="2" fillId="0" borderId="0" applyFill="0" applyBorder="0">
      <alignment vertical="top"/>
      <protection locked="0"/>
    </xf>
    <xf numFmtId="185" fontId="2" fillId="0" borderId="0" applyFill="0" applyBorder="0">
      <alignment vertical="top"/>
      <protection locked="0"/>
    </xf>
    <xf numFmtId="186" fontId="2" fillId="0" borderId="0" applyFill="0" applyBorder="0">
      <alignment vertical="top"/>
      <protection locked="0"/>
    </xf>
    <xf numFmtId="181" fontId="2" fillId="0" borderId="0" applyFill="0" applyBorder="0">
      <alignment vertical="top"/>
      <protection locked="0"/>
    </xf>
    <xf numFmtId="187" fontId="2" fillId="0" borderId="0" applyFill="0" applyBorder="0">
      <alignment vertical="top"/>
      <protection locked="0"/>
    </xf>
    <xf numFmtId="182" fontId="2" fillId="0" borderId="0" applyFill="0" applyBorder="0">
      <alignment vertical="top"/>
      <protection locked="0"/>
    </xf>
    <xf numFmtId="169" fontId="2" fillId="0" borderId="0" applyFill="0" applyBorder="0">
      <alignment vertical="top"/>
      <protection locked="0"/>
    </xf>
    <xf numFmtId="169" fontId="8" fillId="0" borderId="0" applyFill="0" applyBorder="0">
      <alignment vertical="top"/>
      <protection locked="0"/>
    </xf>
    <xf numFmtId="169" fontId="2" fillId="0" borderId="0" applyFill="0" applyBorder="0">
      <alignment vertical="top"/>
      <protection locked="0"/>
    </xf>
    <xf numFmtId="49" fontId="2" fillId="0" borderId="0" applyFill="0" applyBorder="0">
      <alignment vertical="top"/>
      <protection locked="0"/>
    </xf>
    <xf numFmtId="49" fontId="8" fillId="0" borderId="0" applyFill="0" applyBorder="0">
      <alignment vertical="top"/>
      <protection locked="0"/>
    </xf>
    <xf numFmtId="0" fontId="2" fillId="0" borderId="0" applyFill="0" applyBorder="0">
      <alignment vertical="top" wrapText="1"/>
      <protection locked="0"/>
    </xf>
    <xf numFmtId="183" fontId="2" fillId="0" borderId="0" applyFill="0" applyBorder="0">
      <alignment vertical="top"/>
      <protection locked="0"/>
    </xf>
    <xf numFmtId="184" fontId="2" fillId="0" borderId="0" applyFill="0" applyBorder="0">
      <alignment vertical="top"/>
      <protection locked="0"/>
    </xf>
    <xf numFmtId="170" fontId="2" fillId="0" borderId="0" applyFill="0" applyBorder="0">
      <alignment vertical="top"/>
      <protection locked="0"/>
    </xf>
    <xf numFmtId="171" fontId="2" fillId="0" borderId="0" applyFill="0" applyBorder="0">
      <alignment vertical="top"/>
      <protection locked="0"/>
    </xf>
    <xf numFmtId="172" fontId="2" fillId="0" borderId="0" applyFill="0" applyBorder="0">
      <alignment vertical="top"/>
      <protection locked="0"/>
    </xf>
    <xf numFmtId="173" fontId="2" fillId="0" borderId="0" applyFill="0" applyBorder="0">
      <alignment vertical="top"/>
      <protection locked="0"/>
    </xf>
    <xf numFmtId="174" fontId="2" fillId="0" borderId="0" applyFill="0" applyBorder="0">
      <alignment vertical="top"/>
      <protection locked="0"/>
    </xf>
    <xf numFmtId="192" fontId="12" fillId="0" borderId="0" applyFill="0" applyBorder="0">
      <alignment vertical="top"/>
      <protection locked="0"/>
    </xf>
    <xf numFmtId="193" fontId="12" fillId="0" borderId="0" applyFill="0" applyBorder="0">
      <alignment vertical="top"/>
      <protection locked="0"/>
    </xf>
    <xf numFmtId="175" fontId="2" fillId="0" borderId="0" applyFill="0" applyBorder="0">
      <alignment vertical="top"/>
      <protection locked="0"/>
    </xf>
    <xf numFmtId="176" fontId="2" fillId="0" borderId="0" applyFill="0" applyBorder="0">
      <alignment vertical="top"/>
      <protection locked="0"/>
    </xf>
    <xf numFmtId="177" fontId="2" fillId="0" borderId="0" applyFill="0" applyBorder="0">
      <alignment vertical="top"/>
      <protection locked="0"/>
    </xf>
    <xf numFmtId="178" fontId="2" fillId="0" borderId="0" applyFill="0" applyBorder="0">
      <alignment vertical="top"/>
      <protection locked="0"/>
    </xf>
    <xf numFmtId="49" fontId="2" fillId="0" borderId="0" applyFill="0" applyBorder="0">
      <alignment horizontal="left" vertical="top"/>
      <protection locked="0"/>
    </xf>
    <xf numFmtId="49" fontId="2" fillId="0" borderId="0" applyFill="0" applyBorder="0">
      <alignment horizontal="left" vertical="top" indent="1"/>
      <protection locked="0"/>
    </xf>
    <xf numFmtId="49" fontId="2" fillId="0" borderId="0" applyFill="0" applyBorder="0">
      <alignment horizontal="left" vertical="top" indent="2"/>
      <protection locked="0"/>
    </xf>
    <xf numFmtId="49" fontId="2" fillId="0" borderId="0" applyFill="0" applyBorder="0">
      <alignment horizontal="left" vertical="top" indent="3"/>
      <protection locked="0"/>
    </xf>
    <xf numFmtId="49" fontId="2" fillId="0" borderId="0" applyFill="0" applyBorder="0">
      <alignment horizontal="left" vertical="top" indent="4"/>
      <protection locked="0"/>
    </xf>
    <xf numFmtId="49" fontId="2" fillId="0" borderId="0" applyFill="0" applyBorder="0">
      <alignment horizontal="center"/>
      <protection locked="0"/>
    </xf>
    <xf numFmtId="49" fontId="2" fillId="0" borderId="0" applyFill="0" applyBorder="0">
      <alignment horizontal="center" wrapText="1"/>
      <protection locked="0"/>
    </xf>
    <xf numFmtId="49" fontId="1" fillId="0" borderId="0" applyFill="0" applyBorder="0">
      <alignment vertical="top"/>
    </xf>
    <xf numFmtId="0" fontId="1" fillId="0" borderId="0" applyFill="0" applyBorder="0">
      <alignment vertical="top" wrapText="1"/>
    </xf>
    <xf numFmtId="0" fontId="5" fillId="0" borderId="0" applyFill="0" applyBorder="0">
      <alignment vertical="top"/>
    </xf>
    <xf numFmtId="0" fontId="5" fillId="0" borderId="0" applyFill="0" applyBorder="0">
      <alignment horizontal="left" vertical="top" indent="1"/>
    </xf>
    <xf numFmtId="0" fontId="5" fillId="0" borderId="0" applyFill="0" applyBorder="0">
      <alignment horizontal="left" vertical="top" indent="2"/>
    </xf>
    <xf numFmtId="0" fontId="5" fillId="0" borderId="0" applyFill="0" applyBorder="0">
      <alignment horizontal="left" vertical="top" indent="3"/>
    </xf>
    <xf numFmtId="0" fontId="1" fillId="0" borderId="0" applyFill="0" applyBorder="0">
      <alignment vertical="top"/>
    </xf>
    <xf numFmtId="0" fontId="1" fillId="0" borderId="0" applyFill="0" applyBorder="0">
      <alignment horizontal="left" vertical="top" indent="1"/>
    </xf>
    <xf numFmtId="0" fontId="1" fillId="0" borderId="0" applyFill="0" applyBorder="0">
      <alignment horizontal="left" vertical="top" indent="2"/>
    </xf>
    <xf numFmtId="0" fontId="1" fillId="0" borderId="0" applyFill="0" applyBorder="0">
      <alignment horizontal="left" vertical="top" indent="3"/>
    </xf>
    <xf numFmtId="0" fontId="1" fillId="0" borderId="0" applyFill="0" applyBorder="0">
      <alignment horizontal="left" vertical="top" indent="4"/>
    </xf>
    <xf numFmtId="182" fontId="13" fillId="0" borderId="0" applyFill="0" applyBorder="0">
      <alignment horizontal="center"/>
    </xf>
    <xf numFmtId="0" fontId="1" fillId="0" borderId="0" applyFill="0" applyBorder="0">
      <alignment horizontal="center"/>
    </xf>
    <xf numFmtId="0" fontId="13" fillId="2" borderId="0" applyFill="0" applyBorder="0">
      <alignment horizontal="left"/>
    </xf>
    <xf numFmtId="0" fontId="1" fillId="0" borderId="0" applyFill="0" applyBorder="0">
      <alignment horizontal="center" wrapText="1"/>
    </xf>
  </cellStyleXfs>
  <cellXfs count="51">
    <xf numFmtId="0" fontId="0" fillId="0" borderId="0" xfId="0"/>
    <xf numFmtId="0" fontId="0" fillId="0" borderId="0" xfId="0" applyBorder="1"/>
    <xf numFmtId="164" fontId="2" fillId="0" borderId="0" xfId="38" applyBorder="1">
      <alignment vertical="top"/>
      <protection locked="0"/>
    </xf>
    <xf numFmtId="164" fontId="1" fillId="0" borderId="0" xfId="1" applyBorder="1">
      <alignment vertical="top"/>
    </xf>
    <xf numFmtId="0" fontId="1" fillId="0" borderId="0" xfId="89">
      <alignment horizontal="center"/>
    </xf>
    <xf numFmtId="0" fontId="5" fillId="0" borderId="2" xfId="79" applyBorder="1">
      <alignment vertical="top"/>
    </xf>
    <xf numFmtId="188" fontId="1" fillId="0" borderId="3" xfId="18" applyBorder="1"/>
    <xf numFmtId="164" fontId="1" fillId="0" borderId="2" xfId="1" applyBorder="1">
      <alignment vertical="top"/>
    </xf>
    <xf numFmtId="0" fontId="0" fillId="0" borderId="4" xfId="0" applyBorder="1"/>
    <xf numFmtId="188" fontId="1" fillId="0" borderId="1" xfId="18" applyBorder="1"/>
    <xf numFmtId="0" fontId="1" fillId="0" borderId="0" xfId="84" applyBorder="1">
      <alignment horizontal="left" vertical="top" indent="1"/>
    </xf>
    <xf numFmtId="0" fontId="0" fillId="0" borderId="5" xfId="0" applyBorder="1"/>
    <xf numFmtId="0" fontId="5" fillId="0" borderId="0" xfId="79" applyBorder="1">
      <alignment vertical="top"/>
    </xf>
    <xf numFmtId="0" fontId="0" fillId="0" borderId="1" xfId="0" applyBorder="1"/>
    <xf numFmtId="0" fontId="5" fillId="0" borderId="0" xfId="80" applyBorder="1">
      <alignment horizontal="left" vertical="top" indent="1"/>
    </xf>
    <xf numFmtId="0" fontId="1" fillId="0" borderId="0" xfId="85" applyBorder="1">
      <alignment horizontal="left" vertical="top" indent="2"/>
    </xf>
    <xf numFmtId="0" fontId="5" fillId="0" borderId="0" xfId="81" applyBorder="1">
      <alignment horizontal="left" vertical="top" indent="2"/>
    </xf>
    <xf numFmtId="0" fontId="0" fillId="0" borderId="1" xfId="0" applyFill="1" applyBorder="1"/>
    <xf numFmtId="0" fontId="1" fillId="0" borderId="0" xfId="86" applyBorder="1">
      <alignment horizontal="left" vertical="top" indent="3"/>
    </xf>
    <xf numFmtId="171" fontId="2" fillId="0" borderId="0" xfId="60" applyFill="1" applyBorder="1">
      <alignment vertical="top"/>
      <protection locked="0"/>
    </xf>
    <xf numFmtId="0" fontId="0" fillId="0" borderId="6" xfId="0" applyBorder="1"/>
    <xf numFmtId="0" fontId="0" fillId="0" borderId="7" xfId="0" applyBorder="1"/>
    <xf numFmtId="0" fontId="0" fillId="0" borderId="8" xfId="0" applyBorder="1"/>
    <xf numFmtId="0" fontId="0" fillId="3" borderId="2" xfId="0" applyFill="1" applyBorder="1"/>
    <xf numFmtId="0" fontId="0" fillId="3" borderId="4" xfId="0" applyFill="1" applyBorder="1"/>
    <xf numFmtId="0" fontId="0" fillId="3" borderId="0" xfId="0" applyFill="1" applyBorder="1"/>
    <xf numFmtId="0" fontId="0" fillId="3" borderId="5" xfId="0" applyFill="1" applyBorder="1"/>
    <xf numFmtId="0" fontId="13" fillId="3" borderId="1" xfId="90" applyFill="1" applyBorder="1">
      <alignment horizontal="left"/>
    </xf>
    <xf numFmtId="0" fontId="0" fillId="3" borderId="6" xfId="0" applyFill="1" applyBorder="1"/>
    <xf numFmtId="0" fontId="0" fillId="3" borderId="7" xfId="0" applyFill="1" applyBorder="1"/>
    <xf numFmtId="0" fontId="0" fillId="3" borderId="8" xfId="0" applyFill="1" applyBorder="1"/>
    <xf numFmtId="0" fontId="0" fillId="0" borderId="0" xfId="0" applyFill="1" applyBorder="1"/>
    <xf numFmtId="0" fontId="10" fillId="3" borderId="1" xfId="0" applyFont="1" applyFill="1" applyBorder="1"/>
    <xf numFmtId="0" fontId="10" fillId="3" borderId="6" xfId="0" applyFont="1" applyFill="1" applyBorder="1"/>
    <xf numFmtId="0" fontId="11" fillId="0" borderId="1" xfId="0" applyFont="1" applyBorder="1"/>
    <xf numFmtId="0" fontId="6" fillId="3" borderId="3" xfId="31" applyFill="1" applyBorder="1">
      <alignment vertical="top"/>
    </xf>
    <xf numFmtId="0" fontId="6" fillId="3" borderId="1" xfId="31" applyFill="1" applyBorder="1">
      <alignment vertical="top"/>
    </xf>
    <xf numFmtId="0" fontId="4" fillId="3" borderId="1" xfId="32" applyFill="1" applyBorder="1">
      <alignment vertical="top"/>
    </xf>
    <xf numFmtId="0" fontId="1" fillId="3" borderId="6" xfId="91" applyFill="1" applyBorder="1">
      <alignment horizontal="center" wrapText="1"/>
    </xf>
    <xf numFmtId="0" fontId="1" fillId="3" borderId="7" xfId="91" applyFill="1" applyBorder="1">
      <alignment horizontal="center" wrapText="1"/>
    </xf>
    <xf numFmtId="0" fontId="1" fillId="3" borderId="7" xfId="89" applyFill="1" applyBorder="1">
      <alignment horizontal="center"/>
    </xf>
    <xf numFmtId="0" fontId="1" fillId="3" borderId="8" xfId="89" applyFill="1" applyBorder="1">
      <alignment horizontal="center"/>
    </xf>
    <xf numFmtId="168" fontId="2" fillId="0" borderId="5" xfId="44" applyBorder="1">
      <alignment vertical="top"/>
      <protection locked="0"/>
    </xf>
    <xf numFmtId="0" fontId="2" fillId="0" borderId="0" xfId="56">
      <alignment vertical="top" wrapText="1"/>
      <protection locked="0"/>
    </xf>
    <xf numFmtId="0" fontId="5" fillId="0" borderId="0" xfId="79">
      <alignment vertical="top"/>
    </xf>
    <xf numFmtId="0" fontId="1" fillId="0" borderId="0" xfId="84">
      <alignment horizontal="left" vertical="top" indent="1"/>
    </xf>
    <xf numFmtId="0" fontId="1" fillId="0" borderId="0" xfId="85">
      <alignment horizontal="left" vertical="top" indent="2"/>
    </xf>
    <xf numFmtId="0" fontId="0" fillId="4" borderId="0" xfId="0" applyFill="1"/>
    <xf numFmtId="0" fontId="1" fillId="0" borderId="0" xfId="89" applyBorder="1">
      <alignment horizontal="center"/>
    </xf>
    <xf numFmtId="164" fontId="1" fillId="4" borderId="0" xfId="1" applyFill="1" applyBorder="1">
      <alignment vertical="top"/>
    </xf>
    <xf numFmtId="0" fontId="1" fillId="0" borderId="0" xfId="78">
      <alignment vertical="top" wrapText="1"/>
    </xf>
  </cellXfs>
  <cellStyles count="92">
    <cellStyle name="cc0 -CalComma" xfId="1" xr:uid="{00000000-0005-0000-0000-000000000000}"/>
    <cellStyle name="cc0k -CalCommaThousand" xfId="2" xr:uid="{00000000-0005-0000-0000-000001000000}"/>
    <cellStyle name="cc0m -CalCommaMillion" xfId="3" xr:uid="{00000000-0005-0000-0000-000002000000}"/>
    <cellStyle name="cc1 -CalComma" xfId="4" xr:uid="{00000000-0005-0000-0000-000003000000}"/>
    <cellStyle name="cc2 -CalComma" xfId="5" xr:uid="{00000000-0005-0000-0000-000004000000}"/>
    <cellStyle name="cc3 -CalComma" xfId="6" xr:uid="{00000000-0005-0000-0000-000005000000}"/>
    <cellStyle name="cc4 -CalComma" xfId="7" xr:uid="{00000000-0005-0000-0000-000006000000}"/>
    <cellStyle name="cdDMM -CalDate" xfId="8" xr:uid="{00000000-0005-0000-0000-000007000000}"/>
    <cellStyle name="cdDMMY -CalDate" xfId="9" xr:uid="{00000000-0005-0000-0000-000008000000}"/>
    <cellStyle name="cdDMMYHM -CalDateTime" xfId="10" xr:uid="{00000000-0005-0000-0000-000009000000}"/>
    <cellStyle name="cdDMY -CalDate" xfId="11" xr:uid="{00000000-0005-0000-0000-00000A000000}"/>
    <cellStyle name="cdMDY -CalDate" xfId="12" xr:uid="{00000000-0005-0000-0000-00000B000000}"/>
    <cellStyle name="cdMMY -CalDate" xfId="13" xr:uid="{00000000-0005-0000-0000-00000C000000}"/>
    <cellStyle name="cdMMYc-CalDateC" xfId="14" xr:uid="{00000000-0005-0000-0000-00000D000000}"/>
    <cellStyle name="cf0 -CalFixed" xfId="15" xr:uid="{00000000-0005-0000-0000-00000E000000}"/>
    <cellStyle name="cmHM  -CalTime" xfId="16" xr:uid="{00000000-0005-0000-0000-00000F000000}"/>
    <cellStyle name="cmHM24+ -CalTime" xfId="17" xr:uid="{00000000-0005-0000-0000-000010000000}"/>
    <cellStyle name="cNL -NL code" xfId="18" xr:uid="{00000000-0005-0000-0000-000011000000}"/>
    <cellStyle name="cp0 -CalPercent" xfId="19" xr:uid="{00000000-0005-0000-0000-000012000000}"/>
    <cellStyle name="cp1 -CalPercent" xfId="20" xr:uid="{00000000-0005-0000-0000-000013000000}"/>
    <cellStyle name="cp2 -CalPercent" xfId="21" xr:uid="{00000000-0005-0000-0000-000014000000}"/>
    <cellStyle name="cp3 -CalPercent" xfId="22" xr:uid="{00000000-0005-0000-0000-000015000000}"/>
    <cellStyle name="cr0 -CalCurr" xfId="23" xr:uid="{00000000-0005-0000-0000-000016000000}"/>
    <cellStyle name="cr0k -CalCurrThousand" xfId="24" xr:uid="{00000000-0005-0000-0000-000017000000}"/>
    <cellStyle name="cr0m -CalCurrMillion" xfId="25" xr:uid="{00000000-0005-0000-0000-000018000000}"/>
    <cellStyle name="cr1 -CalCurr" xfId="26" xr:uid="{00000000-0005-0000-0000-000019000000}"/>
    <cellStyle name="cr2 -CalCurr" xfId="27" xr:uid="{00000000-0005-0000-0000-00001A000000}"/>
    <cellStyle name="cr3 -CalCurr" xfId="28" xr:uid="{00000000-0005-0000-0000-00001B000000}"/>
    <cellStyle name="cr4 -CalCurr" xfId="29" xr:uid="{00000000-0005-0000-0000-00001C000000}"/>
    <cellStyle name="h0 -Heading" xfId="30" xr:uid="{00000000-0005-0000-0000-00001D000000}"/>
    <cellStyle name="h1 -Heading" xfId="31" xr:uid="{00000000-0005-0000-0000-00001E000000}"/>
    <cellStyle name="h2 -Heading" xfId="32" xr:uid="{00000000-0005-0000-0000-00001F000000}"/>
    <cellStyle name="h3 -Heading" xfId="33" xr:uid="{00000000-0005-0000-0000-000020000000}"/>
    <cellStyle name="hp0 -Hyperlink" xfId="34" xr:uid="{00000000-0005-0000-0000-000021000000}"/>
    <cellStyle name="hp1 -Hyperlink" xfId="35" xr:uid="{00000000-0005-0000-0000-000022000000}"/>
    <cellStyle name="hp2 -Hyperlink" xfId="36" xr:uid="{00000000-0005-0000-0000-000023000000}"/>
    <cellStyle name="hp3 -Hyperlink" xfId="37" xr:uid="{00000000-0005-0000-0000-000024000000}"/>
    <cellStyle name="ic0 -InpComma" xfId="38" xr:uid="{00000000-0005-0000-0000-000025000000}"/>
    <cellStyle name="ic0k -InpCommaThousand" xfId="39" xr:uid="{00000000-0005-0000-0000-000026000000}"/>
    <cellStyle name="ic0m -InpCommaMillion" xfId="40" xr:uid="{00000000-0005-0000-0000-000027000000}"/>
    <cellStyle name="ic1 -InpComma" xfId="41" xr:uid="{00000000-0005-0000-0000-000028000000}"/>
    <cellStyle name="ic2 -InpComma" xfId="42" xr:uid="{00000000-0005-0000-0000-000029000000}"/>
    <cellStyle name="ic3 -InpComma" xfId="43" xr:uid="{00000000-0005-0000-0000-00002A000000}"/>
    <cellStyle name="ic4 -InpComma" xfId="44" xr:uid="{00000000-0005-0000-0000-00002B000000}"/>
    <cellStyle name="idDMM -InpDate" xfId="45" xr:uid="{00000000-0005-0000-0000-00002C000000}"/>
    <cellStyle name="idDMMY -InpDate" xfId="46" xr:uid="{00000000-0005-0000-0000-00002D000000}"/>
    <cellStyle name="idDMMYHM -InpDateTime" xfId="47" xr:uid="{00000000-0005-0000-0000-00002E000000}"/>
    <cellStyle name="idDMY -InpDate" xfId="48" xr:uid="{00000000-0005-0000-0000-00002F000000}"/>
    <cellStyle name="idMDY -InpDate" xfId="49" xr:uid="{00000000-0005-0000-0000-000030000000}"/>
    <cellStyle name="idMMY -InpDate" xfId="50" xr:uid="{00000000-0005-0000-0000-000031000000}"/>
    <cellStyle name="if0 -InpFixed" xfId="51" xr:uid="{00000000-0005-0000-0000-000032000000}"/>
    <cellStyle name="if0b-InpFixedB" xfId="52" xr:uid="{00000000-0005-0000-0000-000033000000}"/>
    <cellStyle name="if0-InpFixed" xfId="53" xr:uid="{00000000-0005-0000-0000-000034000000}"/>
    <cellStyle name="iln -InpTableTextNoWrap" xfId="54" xr:uid="{00000000-0005-0000-0000-000035000000}"/>
    <cellStyle name="ilnb-InpTableTextNoWrapB" xfId="55" xr:uid="{00000000-0005-0000-0000-000036000000}"/>
    <cellStyle name="ilw -InpTableTextWrap" xfId="56" xr:uid="{00000000-0005-0000-0000-000037000000}"/>
    <cellStyle name="imHM  -InpTime" xfId="57" xr:uid="{00000000-0005-0000-0000-000038000000}"/>
    <cellStyle name="imHM24+ -InpTime" xfId="58" xr:uid="{00000000-0005-0000-0000-000039000000}"/>
    <cellStyle name="ip0 -InpPercent" xfId="59" xr:uid="{00000000-0005-0000-0000-00003A000000}"/>
    <cellStyle name="ip1 -InpPercent" xfId="60" xr:uid="{00000000-0005-0000-0000-00003B000000}"/>
    <cellStyle name="ip2 -InpPercent" xfId="61" xr:uid="{00000000-0005-0000-0000-00003C000000}"/>
    <cellStyle name="ip3 -InpPercent" xfId="62" xr:uid="{00000000-0005-0000-0000-00003D000000}"/>
    <cellStyle name="ir0 -InpCurr" xfId="63" xr:uid="{00000000-0005-0000-0000-00003E000000}"/>
    <cellStyle name="ir0k -InpCurrThousand" xfId="64" xr:uid="{00000000-0005-0000-0000-00003F000000}"/>
    <cellStyle name="ir0m -InpCurrMillion" xfId="65" xr:uid="{00000000-0005-0000-0000-000040000000}"/>
    <cellStyle name="ir1 -InpCurr" xfId="66" xr:uid="{00000000-0005-0000-0000-000041000000}"/>
    <cellStyle name="ir2 -InpCurr" xfId="67" xr:uid="{00000000-0005-0000-0000-000042000000}"/>
    <cellStyle name="ir3 -InpCurr" xfId="68" xr:uid="{00000000-0005-0000-0000-000043000000}"/>
    <cellStyle name="ir4 -InpCurr" xfId="69" xr:uid="{00000000-0005-0000-0000-000044000000}"/>
    <cellStyle name="is0 -InpSideText" xfId="70" xr:uid="{00000000-0005-0000-0000-000045000000}"/>
    <cellStyle name="is1 -InpSideText" xfId="71" xr:uid="{00000000-0005-0000-0000-000046000000}"/>
    <cellStyle name="is2 -InpSideText" xfId="72" xr:uid="{00000000-0005-0000-0000-000047000000}"/>
    <cellStyle name="is3 -InpSideText" xfId="73" xr:uid="{00000000-0005-0000-0000-000048000000}"/>
    <cellStyle name="is4 -InpSideText" xfId="74" xr:uid="{00000000-0005-0000-0000-000049000000}"/>
    <cellStyle name="itn -InpTopTextNoWrap" xfId="75" xr:uid="{00000000-0005-0000-0000-00004A000000}"/>
    <cellStyle name="itw -InpTopTextWrap" xfId="76" xr:uid="{00000000-0005-0000-0000-00004B000000}"/>
    <cellStyle name="ltn -TableTextNoWrap" xfId="77" xr:uid="{00000000-0005-0000-0000-00004C000000}"/>
    <cellStyle name="ltw -TableTextWrap" xfId="78" xr:uid="{00000000-0005-0000-0000-00004D000000}"/>
    <cellStyle name="Normal" xfId="0" builtinId="0"/>
    <cellStyle name="sh0 -SideHeading" xfId="79" xr:uid="{00000000-0005-0000-0000-00004F000000}"/>
    <cellStyle name="sh1 -SideHeading" xfId="80" xr:uid="{00000000-0005-0000-0000-000050000000}"/>
    <cellStyle name="sh2 -SideHeading" xfId="81" xr:uid="{00000000-0005-0000-0000-000051000000}"/>
    <cellStyle name="sh3 -SideHeading" xfId="82" xr:uid="{00000000-0005-0000-0000-000052000000}"/>
    <cellStyle name="st0 -SideText" xfId="83" xr:uid="{00000000-0005-0000-0000-000053000000}"/>
    <cellStyle name="st1 -SideText" xfId="84" xr:uid="{00000000-0005-0000-0000-000054000000}"/>
    <cellStyle name="st2 -SideText" xfId="85" xr:uid="{00000000-0005-0000-0000-000055000000}"/>
    <cellStyle name="st3 -SideText" xfId="86" xr:uid="{00000000-0005-0000-0000-000056000000}"/>
    <cellStyle name="st4 -SideText" xfId="87" xr:uid="{00000000-0005-0000-0000-000057000000}"/>
    <cellStyle name="tdMMYc-TopDateC" xfId="88" xr:uid="{00000000-0005-0000-0000-000058000000}"/>
    <cellStyle name="ttn -TopTextNoWrap" xfId="89" xr:uid="{00000000-0005-0000-0000-000059000000}"/>
    <cellStyle name="ttnl -TopTextNoWrapL" xfId="90" xr:uid="{00000000-0005-0000-0000-00005A000000}"/>
    <cellStyle name="ttw -TopTextWrap" xfId="91" xr:uid="{00000000-0005-0000-0000-00005B000000}"/>
  </cellStyles>
  <dxfs count="1">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B800"/>
      <rgbColor rgb="0066E2FF"/>
      <rgbColor rgb="00D5D000"/>
      <rgbColor rgb="00FFB9FF"/>
      <rgbColor rgb="00CDFFCD"/>
      <rgbColor rgb="00D8D8D8"/>
      <rgbColor rgb="00D7E4BC"/>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F2F2F2"/>
      <rgbColor rgb="00CCFFFF"/>
      <rgbColor rgb="00D7E4BC"/>
      <rgbColor rgb="00FFFF85"/>
      <rgbColor rgb="00BDDEFF"/>
      <rgbColor rgb="00FF99CC"/>
      <rgbColor rgb="00CC99FF"/>
      <rgbColor rgb="00FF8080"/>
      <rgbColor rgb="007596FF"/>
      <rgbColor rgb="0000FF99"/>
      <rgbColor rgb="00E7E200"/>
      <rgbColor rgb="00FFA080"/>
      <rgbColor rgb="00FFA143"/>
      <rgbColor rgb="00FF7E2F"/>
      <rgbColor rgb="00E6B9B8"/>
      <rgbColor rgb="00BFBFBF"/>
      <rgbColor rgb="009BBB59"/>
      <rgbColor rgb="0000DA00"/>
      <rgbColor rgb="00009A00"/>
      <rgbColor rgb="00B8B400"/>
      <rgbColor rgb="00FF4820"/>
      <rgbColor rgb="00CACADC"/>
      <rgbColor rgb="00C2D69A"/>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indexed="12"/>
  </sheetPr>
  <dimension ref="A1:D42"/>
  <sheetViews>
    <sheetView workbookViewId="0">
      <pane ySplit="4" topLeftCell="A5" activePane="bottomLeft" state="frozen"/>
      <selection activeCell="C12" sqref="C12"/>
      <selection pane="bottomLeft" activeCell="C18" sqref="C18"/>
    </sheetView>
  </sheetViews>
  <sheetFormatPr defaultRowHeight="10.15" x14ac:dyDescent="0.3"/>
  <cols>
    <col min="1" max="1" width="7" customWidth="1"/>
    <col min="2" max="2" width="15.83203125" customWidth="1"/>
    <col min="3" max="3" width="96.5" customWidth="1"/>
    <col min="4" max="4" width="2.33203125" customWidth="1"/>
  </cols>
  <sheetData>
    <row r="1" spans="1:4" ht="15" x14ac:dyDescent="0.3">
      <c r="A1" s="35" t="s">
        <v>7</v>
      </c>
      <c r="B1" s="23"/>
      <c r="C1" s="23"/>
      <c r="D1" s="24"/>
    </row>
    <row r="2" spans="1:4" ht="15" x14ac:dyDescent="0.3">
      <c r="A2" s="36" t="str">
        <f>kAppName</f>
        <v>Navigation</v>
      </c>
      <c r="B2" s="25"/>
      <c r="C2" s="25"/>
      <c r="D2" s="26"/>
    </row>
    <row r="3" spans="1:4" x14ac:dyDescent="0.3">
      <c r="A3" s="27" t="str">
        <f>"Version " &amp; kVersion</f>
        <v>Version 17-Jul-2008A</v>
      </c>
      <c r="B3" s="25"/>
      <c r="C3" s="25"/>
      <c r="D3" s="26"/>
    </row>
    <row r="4" spans="1:4" ht="10.5" thickBot="1" x14ac:dyDescent="0.35">
      <c r="A4" s="28"/>
      <c r="B4" s="29"/>
      <c r="C4" s="29"/>
      <c r="D4" s="30"/>
    </row>
    <row r="5" spans="1:4" x14ac:dyDescent="0.3">
      <c r="A5" s="44" t="s">
        <v>8</v>
      </c>
    </row>
    <row r="6" spans="1:4" x14ac:dyDescent="0.3">
      <c r="A6" s="45" t="s">
        <v>9</v>
      </c>
      <c r="C6" s="43" t="s">
        <v>38</v>
      </c>
    </row>
    <row r="7" spans="1:4" x14ac:dyDescent="0.3">
      <c r="A7" s="45" t="s">
        <v>10</v>
      </c>
      <c r="C7" s="1" t="str">
        <f ca="1">SUBSTITUTE(LEFT(CELL("filename",C7),FIND("]",CELL("filename",C7))-1),"[","")</f>
        <v>C:\d\Sem\custom\Clients\GisborneDC\Coursefiles\1 Navigation\SmallSheetNavigate.xlsm</v>
      </c>
    </row>
    <row r="8" spans="1:4" x14ac:dyDescent="0.3">
      <c r="A8" s="45" t="s">
        <v>11</v>
      </c>
      <c r="C8" t="str">
        <f>kVersion</f>
        <v>17-Jul-2008A</v>
      </c>
    </row>
    <row r="9" spans="1:4" x14ac:dyDescent="0.3">
      <c r="A9" s="45" t="s">
        <v>12</v>
      </c>
      <c r="C9" t="s">
        <v>28</v>
      </c>
    </row>
    <row r="10" spans="1:4" ht="20.25" x14ac:dyDescent="0.3">
      <c r="A10" s="45" t="s">
        <v>13</v>
      </c>
      <c r="C10" s="43" t="s">
        <v>65</v>
      </c>
    </row>
    <row r="11" spans="1:4" x14ac:dyDescent="0.3">
      <c r="A11" s="45" t="s">
        <v>14</v>
      </c>
      <c r="C11" s="43" t="s">
        <v>64</v>
      </c>
    </row>
    <row r="12" spans="1:4" x14ac:dyDescent="0.3">
      <c r="A12" s="45" t="s">
        <v>15</v>
      </c>
    </row>
    <row r="13" spans="1:4" x14ac:dyDescent="0.3">
      <c r="A13" s="46" t="s">
        <v>16</v>
      </c>
      <c r="C13" s="43" t="s">
        <v>39</v>
      </c>
    </row>
    <row r="14" spans="1:4" x14ac:dyDescent="0.3">
      <c r="A14" s="46" t="s">
        <v>17</v>
      </c>
      <c r="C14" s="43" t="s">
        <v>39</v>
      </c>
    </row>
    <row r="15" spans="1:4" x14ac:dyDescent="0.3">
      <c r="A15" s="46" t="s">
        <v>18</v>
      </c>
      <c r="C15" s="43" t="s">
        <v>39</v>
      </c>
    </row>
    <row r="16" spans="1:4" x14ac:dyDescent="0.3">
      <c r="A16" s="46" t="s">
        <v>19</v>
      </c>
      <c r="C16" s="43" t="s">
        <v>39</v>
      </c>
    </row>
    <row r="17" spans="1:3" x14ac:dyDescent="0.3">
      <c r="A17" s="46" t="s">
        <v>20</v>
      </c>
      <c r="C17" s="43" t="s">
        <v>39</v>
      </c>
    </row>
    <row r="18" spans="1:3" x14ac:dyDescent="0.3">
      <c r="A18" s="12" t="s">
        <v>22</v>
      </c>
      <c r="B18" s="1"/>
    </row>
    <row r="19" spans="1:3" x14ac:dyDescent="0.3">
      <c r="A19" s="14" t="s">
        <v>23</v>
      </c>
      <c r="B19" s="1"/>
    </row>
    <row r="20" spans="1:3" x14ac:dyDescent="0.3">
      <c r="A20" s="16" t="s">
        <v>40</v>
      </c>
      <c r="B20" s="1"/>
      <c r="C20" s="1"/>
    </row>
    <row r="21" spans="1:3" x14ac:dyDescent="0.3">
      <c r="A21" s="15" t="s">
        <v>24</v>
      </c>
      <c r="B21" s="1" t="s">
        <v>41</v>
      </c>
      <c r="C21" s="1"/>
    </row>
    <row r="22" spans="1:3" x14ac:dyDescent="0.3">
      <c r="A22" s="1"/>
      <c r="B22" s="1" t="s">
        <v>62</v>
      </c>
      <c r="C22" s="1"/>
    </row>
    <row r="23" spans="1:3" x14ac:dyDescent="0.3">
      <c r="A23" s="16" t="s">
        <v>45</v>
      </c>
      <c r="B23" s="1"/>
      <c r="C23" s="1"/>
    </row>
    <row r="24" spans="1:3" x14ac:dyDescent="0.3">
      <c r="A24" s="15" t="s">
        <v>24</v>
      </c>
      <c r="B24" s="1" t="s">
        <v>42</v>
      </c>
      <c r="C24" s="1"/>
    </row>
    <row r="25" spans="1:3" x14ac:dyDescent="0.3">
      <c r="A25" s="15" t="s">
        <v>25</v>
      </c>
      <c r="B25" s="31" t="s">
        <v>46</v>
      </c>
      <c r="C25" s="1"/>
    </row>
    <row r="26" spans="1:3" x14ac:dyDescent="0.3">
      <c r="A26" s="16" t="s">
        <v>51</v>
      </c>
      <c r="B26" s="31"/>
      <c r="C26" s="1"/>
    </row>
    <row r="27" spans="1:3" x14ac:dyDescent="0.3">
      <c r="A27" s="15" t="s">
        <v>24</v>
      </c>
      <c r="B27" s="1" t="s">
        <v>49</v>
      </c>
      <c r="C27" s="1"/>
    </row>
    <row r="28" spans="1:3" x14ac:dyDescent="0.3">
      <c r="A28" s="15" t="s">
        <v>25</v>
      </c>
      <c r="B28" s="31" t="s">
        <v>50</v>
      </c>
      <c r="C28" s="1"/>
    </row>
    <row r="29" spans="1:3" x14ac:dyDescent="0.3">
      <c r="A29" s="15" t="s">
        <v>27</v>
      </c>
      <c r="B29" s="31" t="s">
        <v>52</v>
      </c>
      <c r="C29" s="1"/>
    </row>
    <row r="30" spans="1:3" x14ac:dyDescent="0.3">
      <c r="A30" s="16" t="s">
        <v>53</v>
      </c>
      <c r="B30" s="31"/>
      <c r="C30" s="1"/>
    </row>
    <row r="31" spans="1:3" x14ac:dyDescent="0.3">
      <c r="A31" s="15" t="s">
        <v>24</v>
      </c>
      <c r="B31" s="1" t="s">
        <v>54</v>
      </c>
      <c r="C31" s="1"/>
    </row>
    <row r="32" spans="1:3" x14ac:dyDescent="0.3">
      <c r="A32" s="16" t="s">
        <v>55</v>
      </c>
      <c r="B32" s="31"/>
      <c r="C32" s="1"/>
    </row>
    <row r="33" spans="1:3" x14ac:dyDescent="0.3">
      <c r="A33" s="15" t="s">
        <v>24</v>
      </c>
      <c r="B33" s="1" t="s">
        <v>56</v>
      </c>
      <c r="C33" s="1"/>
    </row>
    <row r="34" spans="1:3" x14ac:dyDescent="0.3">
      <c r="A34" s="16" t="s">
        <v>57</v>
      </c>
      <c r="B34" s="31"/>
      <c r="C34" s="1"/>
    </row>
    <row r="35" spans="1:3" x14ac:dyDescent="0.3">
      <c r="A35" s="15" t="s">
        <v>24</v>
      </c>
      <c r="B35" s="1" t="s">
        <v>63</v>
      </c>
      <c r="C35" s="1"/>
    </row>
    <row r="36" spans="1:3" x14ac:dyDescent="0.3">
      <c r="A36" s="15" t="s">
        <v>25</v>
      </c>
      <c r="B36" s="1" t="s">
        <v>58</v>
      </c>
      <c r="C36" s="1"/>
    </row>
    <row r="37" spans="1:3" x14ac:dyDescent="0.3">
      <c r="A37" s="16" t="s">
        <v>59</v>
      </c>
      <c r="B37" s="31"/>
      <c r="C37" s="1"/>
    </row>
    <row r="38" spans="1:3" x14ac:dyDescent="0.3">
      <c r="A38" s="15" t="s">
        <v>24</v>
      </c>
      <c r="B38" s="1" t="s">
        <v>49</v>
      </c>
      <c r="C38" s="1"/>
    </row>
    <row r="39" spans="1:3" x14ac:dyDescent="0.3">
      <c r="A39" s="15" t="s">
        <v>25</v>
      </c>
      <c r="B39" s="1" t="s">
        <v>60</v>
      </c>
      <c r="C39" s="1"/>
    </row>
    <row r="40" spans="1:3" x14ac:dyDescent="0.3">
      <c r="A40" s="15" t="s">
        <v>27</v>
      </c>
      <c r="B40" s="1" t="s">
        <v>61</v>
      </c>
      <c r="C40" s="1"/>
    </row>
    <row r="41" spans="1:3" x14ac:dyDescent="0.3">
      <c r="A41" s="14" t="s">
        <v>26</v>
      </c>
      <c r="B41" s="1"/>
      <c r="C41" s="1"/>
    </row>
    <row r="42" spans="1:3" x14ac:dyDescent="0.3">
      <c r="A42" s="1"/>
      <c r="B42" s="1" t="s">
        <v>21</v>
      </c>
      <c r="C42" s="1"/>
    </row>
  </sheetData>
  <sheetProtection autoFilter="0"/>
  <phoneticPr fontId="11" type="noConversion"/>
  <pageMargins left="0.23622047244094491" right="0.23622047244094491" top="0.43307086614173229" bottom="0.43307086614173229" header="0.23622047244094491" footer="0.23622047244094491"/>
  <pageSetup paperSize="9" orientation="portrait" r:id="rId1"/>
  <headerFooter alignWithMargins="0">
    <oddFooter>&amp;L&amp;8&amp;D &amp;T&amp;C&amp;8&amp;Z&amp;F</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indexed="22"/>
  </sheetPr>
  <dimension ref="A1:B13"/>
  <sheetViews>
    <sheetView workbookViewId="0">
      <pane ySplit="4" topLeftCell="A5" activePane="bottomLeft" state="frozen"/>
      <selection activeCell="C12" sqref="C12"/>
      <selection pane="bottomLeft" activeCell="C12" sqref="C12"/>
    </sheetView>
  </sheetViews>
  <sheetFormatPr defaultColWidth="9.83203125" defaultRowHeight="10.15" x14ac:dyDescent="0.3"/>
  <cols>
    <col min="1" max="1" width="22" customWidth="1"/>
    <col min="2" max="2" width="19.83203125" customWidth="1"/>
  </cols>
  <sheetData>
    <row r="1" spans="1:2" ht="15" x14ac:dyDescent="0.3">
      <c r="A1" s="35" t="s">
        <v>29</v>
      </c>
      <c r="B1" s="24"/>
    </row>
    <row r="2" spans="1:2" ht="15" x14ac:dyDescent="0.3">
      <c r="A2" s="36" t="str">
        <f>kAppName</f>
        <v>Navigation</v>
      </c>
      <c r="B2" s="26"/>
    </row>
    <row r="3" spans="1:2" x14ac:dyDescent="0.3">
      <c r="A3" s="32"/>
      <c r="B3" s="26"/>
    </row>
    <row r="4" spans="1:2" ht="10.5" thickBot="1" x14ac:dyDescent="0.35">
      <c r="A4" s="33"/>
      <c r="B4" s="30"/>
    </row>
    <row r="5" spans="1:2" x14ac:dyDescent="0.3">
      <c r="A5" s="13"/>
      <c r="B5" s="11"/>
    </row>
    <row r="6" spans="1:2" x14ac:dyDescent="0.3">
      <c r="A6" s="13" t="s">
        <v>30</v>
      </c>
      <c r="B6" s="11" t="s">
        <v>47</v>
      </c>
    </row>
    <row r="7" spans="1:2" x14ac:dyDescent="0.3">
      <c r="A7" s="34" t="s">
        <v>11</v>
      </c>
      <c r="B7" s="11" t="s">
        <v>37</v>
      </c>
    </row>
    <row r="8" spans="1:2" x14ac:dyDescent="0.3">
      <c r="A8" s="13" t="s">
        <v>31</v>
      </c>
      <c r="B8" s="11" t="s">
        <v>48</v>
      </c>
    </row>
    <row r="9" spans="1:2" x14ac:dyDescent="0.3">
      <c r="A9" s="13" t="s">
        <v>32</v>
      </c>
      <c r="B9" s="42">
        <v>1E-3</v>
      </c>
    </row>
    <row r="10" spans="1:2" x14ac:dyDescent="0.3">
      <c r="A10" s="13" t="s">
        <v>33</v>
      </c>
      <c r="B10" s="11" t="s">
        <v>34</v>
      </c>
    </row>
    <row r="11" spans="1:2" x14ac:dyDescent="0.3">
      <c r="A11" s="13" t="s">
        <v>35</v>
      </c>
      <c r="B11" s="11" t="str">
        <f ca="1">TEXT(NOW(),"d-mmm-yyyy h:mm AM/PM ")</f>
        <v xml:space="preserve">7-Sep-2024 6:37 PM </v>
      </c>
    </row>
    <row r="12" spans="1:2" x14ac:dyDescent="0.3">
      <c r="A12" s="13" t="s">
        <v>36</v>
      </c>
      <c r="B12" s="11" t="b">
        <v>1</v>
      </c>
    </row>
    <row r="13" spans="1:2" ht="6" customHeight="1" thickBot="1" x14ac:dyDescent="0.35">
      <c r="A13" s="20"/>
      <c r="B13" s="22"/>
    </row>
  </sheetData>
  <sheetProtection autoFilter="0"/>
  <phoneticPr fontId="11" type="noConversion"/>
  <pageMargins left="0.23622047244094491" right="0.23622047244094491" top="0.43307086614173229" bottom="0.43307086614173229" header="0.23622047244094491" footer="0.23622047244094491"/>
  <pageSetup paperSize="9" orientation="landscape" r:id="rId1"/>
  <headerFooter alignWithMargins="0">
    <oddFooter>&amp;L&amp;8&amp;D &amp;T&amp;C&amp;8&amp;Z&amp;F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indexed="11"/>
  </sheetPr>
  <dimension ref="A1:R39"/>
  <sheetViews>
    <sheetView tabSelected="1" topLeftCell="K11" workbookViewId="0">
      <pane xSplit="2" ySplit="4" topLeftCell="M15" activePane="bottomRight" state="frozen"/>
      <selection activeCell="K11" sqref="K11"/>
      <selection pane="topRight" activeCell="M11" sqref="M11"/>
      <selection pane="bottomLeft" activeCell="K15" sqref="K15"/>
      <selection pane="bottomRight" activeCell="K19" sqref="K19:P30"/>
    </sheetView>
  </sheetViews>
  <sheetFormatPr defaultRowHeight="10.15" x14ac:dyDescent="0.3"/>
  <cols>
    <col min="9" max="9" width="32.6640625" customWidth="1"/>
    <col min="11" max="11" width="19.6640625" customWidth="1"/>
    <col min="12" max="12" width="30.58203125" customWidth="1"/>
    <col min="13" max="17" width="10.58203125" customWidth="1"/>
    <col min="18" max="18" width="1.83203125" customWidth="1"/>
  </cols>
  <sheetData>
    <row r="1" spans="1:18" x14ac:dyDescent="0.3">
      <c r="A1" s="44" t="s">
        <v>117</v>
      </c>
    </row>
    <row r="2" spans="1:18" x14ac:dyDescent="0.3">
      <c r="A2" t="s">
        <v>112</v>
      </c>
    </row>
    <row r="3" spans="1:18" x14ac:dyDescent="0.3">
      <c r="A3" t="s">
        <v>113</v>
      </c>
    </row>
    <row r="4" spans="1:18" x14ac:dyDescent="0.3">
      <c r="A4" t="s">
        <v>116</v>
      </c>
    </row>
    <row r="5" spans="1:18" x14ac:dyDescent="0.3">
      <c r="K5" s="50"/>
    </row>
    <row r="6" spans="1:18" ht="40.5" x14ac:dyDescent="0.3">
      <c r="K6" s="50" t="s">
        <v>114</v>
      </c>
      <c r="M6" s="50" t="s">
        <v>115</v>
      </c>
    </row>
    <row r="7" spans="1:18" x14ac:dyDescent="0.3">
      <c r="Q7" s="47" t="s">
        <v>101</v>
      </c>
    </row>
    <row r="8" spans="1:18" x14ac:dyDescent="0.3">
      <c r="Q8" s="3">
        <f>SUM(N8:P8)</f>
        <v>0</v>
      </c>
    </row>
    <row r="9" spans="1:18" x14ac:dyDescent="0.3">
      <c r="K9" s="47" t="s">
        <v>108</v>
      </c>
      <c r="L9" s="47"/>
      <c r="M9" s="47"/>
      <c r="N9" s="47"/>
      <c r="O9" s="47"/>
      <c r="P9" s="47"/>
      <c r="Q9" s="49"/>
      <c r="R9" s="47"/>
    </row>
    <row r="10" spans="1:18" ht="10.5" thickBot="1" x14ac:dyDescent="0.35">
      <c r="K10" s="48" t="s">
        <v>107</v>
      </c>
      <c r="L10" s="4" t="s">
        <v>67</v>
      </c>
      <c r="M10" s="4" t="s">
        <v>106</v>
      </c>
      <c r="N10" s="4" t="s">
        <v>102</v>
      </c>
      <c r="O10" s="4" t="s">
        <v>103</v>
      </c>
      <c r="P10" s="4" t="s">
        <v>104</v>
      </c>
      <c r="Q10" s="4" t="s">
        <v>105</v>
      </c>
    </row>
    <row r="11" spans="1:18" ht="15" x14ac:dyDescent="0.3">
      <c r="K11" s="35" t="s">
        <v>6</v>
      </c>
      <c r="L11" s="23"/>
      <c r="M11" s="23" t="str">
        <f>kOrgName</f>
        <v>AbleOwl © 2008</v>
      </c>
      <c r="N11" s="23"/>
      <c r="O11" s="23"/>
      <c r="P11" s="23"/>
      <c r="Q11" s="23"/>
      <c r="R11" s="24"/>
    </row>
    <row r="12" spans="1:18" ht="15" x14ac:dyDescent="0.3">
      <c r="K12" s="36"/>
      <c r="L12" s="25"/>
      <c r="M12" s="25" t="str">
        <f ca="1">kNow</f>
        <v xml:space="preserve">7-Sep-2024 6:37 PM </v>
      </c>
      <c r="N12" s="25"/>
      <c r="O12" s="25"/>
      <c r="P12" s="25"/>
      <c r="Q12" s="25"/>
      <c r="R12" s="26"/>
    </row>
    <row r="13" spans="1:18" ht="13.15" x14ac:dyDescent="0.3">
      <c r="K13" s="37" t="s">
        <v>78</v>
      </c>
      <c r="L13" s="25"/>
      <c r="M13" s="25"/>
      <c r="N13" s="25" t="s">
        <v>71</v>
      </c>
      <c r="O13" s="25"/>
      <c r="P13" s="25"/>
      <c r="Q13" s="25"/>
      <c r="R13" s="26"/>
    </row>
    <row r="14" spans="1:18" ht="10.5" thickBot="1" x14ac:dyDescent="0.35">
      <c r="K14" s="38" t="s">
        <v>66</v>
      </c>
      <c r="L14" s="39" t="s">
        <v>67</v>
      </c>
      <c r="M14" s="39" t="s">
        <v>44</v>
      </c>
      <c r="N14" s="40" t="s">
        <v>68</v>
      </c>
      <c r="O14" s="40" t="s">
        <v>69</v>
      </c>
      <c r="P14" s="40" t="s">
        <v>70</v>
      </c>
      <c r="Q14" s="40" t="s">
        <v>43</v>
      </c>
      <c r="R14" s="41"/>
    </row>
    <row r="15" spans="1:18" x14ac:dyDescent="0.3">
      <c r="I15" t="s">
        <v>110</v>
      </c>
      <c r="K15" s="6"/>
      <c r="L15" s="5" t="s">
        <v>72</v>
      </c>
      <c r="M15" s="5"/>
      <c r="N15" s="7"/>
      <c r="O15" s="7"/>
      <c r="P15" s="7"/>
      <c r="Q15" s="7"/>
      <c r="R15" s="8"/>
    </row>
    <row r="16" spans="1:18" x14ac:dyDescent="0.3">
      <c r="K16" s="9" t="s">
        <v>73</v>
      </c>
      <c r="L16" s="10" t="s">
        <v>74</v>
      </c>
      <c r="M16" s="10"/>
      <c r="N16" s="3">
        <v>2</v>
      </c>
      <c r="O16" s="3">
        <v>0</v>
      </c>
      <c r="P16" s="3">
        <v>0</v>
      </c>
      <c r="Q16" s="3">
        <f>SUM(N16:P16)</f>
        <v>2</v>
      </c>
      <c r="R16" s="11"/>
    </row>
    <row r="17" spans="9:18" x14ac:dyDescent="0.3">
      <c r="K17" s="9" t="s">
        <v>75</v>
      </c>
      <c r="L17" s="10" t="s">
        <v>86</v>
      </c>
      <c r="M17" s="10"/>
      <c r="N17" s="3">
        <v>-842027.51</v>
      </c>
      <c r="O17" s="3">
        <v>-699961.875</v>
      </c>
      <c r="P17" s="3">
        <v>-689001.08499999996</v>
      </c>
      <c r="Q17" s="3">
        <f>SUM(N17:P17)</f>
        <v>-2230990.4699999997</v>
      </c>
      <c r="R17" s="11"/>
    </row>
    <row r="18" spans="9:18" x14ac:dyDescent="0.3">
      <c r="K18" s="9" t="s">
        <v>76</v>
      </c>
      <c r="L18" s="10" t="s">
        <v>87</v>
      </c>
      <c r="M18" s="10"/>
      <c r="N18" s="3">
        <v>-85180.59</v>
      </c>
      <c r="O18" s="3">
        <v>-166073.48000000001</v>
      </c>
      <c r="P18" s="3">
        <v>-159025.85999999999</v>
      </c>
      <c r="Q18" s="3">
        <f>SUM(N18:P18)</f>
        <v>-410279.93</v>
      </c>
      <c r="R18" s="11"/>
    </row>
    <row r="19" spans="9:18" x14ac:dyDescent="0.3">
      <c r="I19" t="s">
        <v>109</v>
      </c>
      <c r="K19" s="13"/>
      <c r="L19" s="12" t="s">
        <v>79</v>
      </c>
      <c r="M19" s="12"/>
      <c r="N19" s="1"/>
      <c r="O19" s="1"/>
      <c r="P19" s="1"/>
      <c r="Q19" s="3"/>
      <c r="R19" s="11"/>
    </row>
    <row r="20" spans="9:18" x14ac:dyDescent="0.3">
      <c r="K20" s="13"/>
      <c r="L20" s="14" t="s">
        <v>80</v>
      </c>
      <c r="M20" s="14"/>
      <c r="N20" s="1"/>
      <c r="O20" s="1"/>
      <c r="P20" s="1"/>
      <c r="Q20" s="3"/>
      <c r="R20" s="11"/>
    </row>
    <row r="21" spans="9:18" x14ac:dyDescent="0.3">
      <c r="K21" s="9" t="s">
        <v>84</v>
      </c>
      <c r="L21" s="15" t="s">
        <v>85</v>
      </c>
      <c r="M21" s="15"/>
      <c r="N21" s="2">
        <v>0</v>
      </c>
      <c r="O21" s="2">
        <v>0</v>
      </c>
      <c r="P21" s="2">
        <v>0</v>
      </c>
      <c r="Q21" s="3">
        <f>SUM(N21:P21)</f>
        <v>0</v>
      </c>
      <c r="R21" s="11"/>
    </row>
    <row r="22" spans="9:18" x14ac:dyDescent="0.3">
      <c r="K22" s="13"/>
      <c r="L22" s="14" t="s">
        <v>81</v>
      </c>
      <c r="M22" s="14"/>
      <c r="N22" s="1"/>
      <c r="O22" s="1"/>
      <c r="P22" s="1"/>
      <c r="Q22" s="3"/>
      <c r="R22" s="11"/>
    </row>
    <row r="23" spans="9:18" x14ac:dyDescent="0.3">
      <c r="K23" s="13" t="s">
        <v>82</v>
      </c>
      <c r="L23" s="15" t="s">
        <v>88</v>
      </c>
      <c r="M23" s="15"/>
      <c r="N23" s="2">
        <v>276462</v>
      </c>
      <c r="O23" s="2">
        <v>0</v>
      </c>
      <c r="P23" s="2">
        <v>0</v>
      </c>
      <c r="Q23" s="3">
        <f>SUM(N23:P23)</f>
        <v>276462</v>
      </c>
      <c r="R23" s="11"/>
    </row>
    <row r="24" spans="9:18" x14ac:dyDescent="0.3">
      <c r="K24" s="13" t="s">
        <v>83</v>
      </c>
      <c r="L24" s="15" t="s">
        <v>83</v>
      </c>
      <c r="M24" s="15"/>
      <c r="N24" s="2">
        <v>886391</v>
      </c>
      <c r="O24" s="2">
        <v>0</v>
      </c>
      <c r="P24" s="2">
        <v>0</v>
      </c>
      <c r="Q24" s="3">
        <f>SUM(N24:P24)</f>
        <v>886391</v>
      </c>
      <c r="R24" s="11"/>
    </row>
    <row r="25" spans="9:18" x14ac:dyDescent="0.3">
      <c r="K25" s="13"/>
      <c r="L25" s="14" t="s">
        <v>92</v>
      </c>
      <c r="M25" s="14"/>
      <c r="N25" s="1"/>
      <c r="O25" s="1"/>
      <c r="P25" s="1"/>
      <c r="Q25" s="3"/>
      <c r="R25" s="11"/>
    </row>
    <row r="26" spans="9:18" x14ac:dyDescent="0.3">
      <c r="K26" s="13"/>
      <c r="L26" s="16" t="s">
        <v>93</v>
      </c>
      <c r="M26" s="16"/>
      <c r="N26" s="1"/>
      <c r="O26" s="1"/>
      <c r="P26" s="1"/>
      <c r="Q26" s="3"/>
      <c r="R26" s="11"/>
    </row>
    <row r="27" spans="9:18" x14ac:dyDescent="0.3">
      <c r="K27" s="17" t="s">
        <v>94</v>
      </c>
      <c r="L27" s="18" t="s">
        <v>89</v>
      </c>
      <c r="M27" s="18"/>
      <c r="N27" s="19">
        <v>0.34</v>
      </c>
      <c r="O27" s="19">
        <v>0.34</v>
      </c>
      <c r="P27" s="19">
        <v>0.34</v>
      </c>
      <c r="Q27" s="3"/>
      <c r="R27" s="11"/>
    </row>
    <row r="28" spans="9:18" x14ac:dyDescent="0.3">
      <c r="K28" s="17" t="s">
        <v>95</v>
      </c>
      <c r="L28" s="18" t="s">
        <v>77</v>
      </c>
      <c r="M28" s="18"/>
      <c r="N28" s="19">
        <v>0.51</v>
      </c>
      <c r="O28" s="19">
        <v>0.51</v>
      </c>
      <c r="P28" s="19">
        <v>0.51</v>
      </c>
      <c r="Q28" s="3"/>
      <c r="R28" s="11"/>
    </row>
    <row r="29" spans="9:18" ht="6" customHeight="1" x14ac:dyDescent="0.3">
      <c r="K29" s="17"/>
      <c r="L29" s="18"/>
      <c r="M29" s="18"/>
      <c r="N29" s="19"/>
      <c r="O29" s="19"/>
      <c r="P29" s="19"/>
      <c r="Q29" s="3"/>
      <c r="R29" s="11"/>
    </row>
    <row r="30" spans="9:18" x14ac:dyDescent="0.3">
      <c r="I30" t="s">
        <v>111</v>
      </c>
      <c r="K30" s="13"/>
      <c r="L30" s="12" t="s">
        <v>96</v>
      </c>
      <c r="M30" s="12"/>
      <c r="N30" s="1"/>
      <c r="O30" s="1"/>
      <c r="P30" s="1"/>
      <c r="Q30" s="3"/>
      <c r="R30" s="11"/>
    </row>
    <row r="31" spans="9:18" x14ac:dyDescent="0.3">
      <c r="K31" s="13"/>
      <c r="L31" s="14" t="s">
        <v>97</v>
      </c>
      <c r="M31" s="14"/>
      <c r="N31" s="1"/>
      <c r="O31" s="1"/>
      <c r="P31" s="1"/>
      <c r="Q31" s="3"/>
      <c r="R31" s="11"/>
    </row>
    <row r="32" spans="9:18" x14ac:dyDescent="0.3">
      <c r="K32" s="13"/>
      <c r="L32" s="16" t="s">
        <v>98</v>
      </c>
      <c r="M32" s="16"/>
      <c r="N32" s="1"/>
      <c r="O32" s="1"/>
      <c r="P32" s="1"/>
      <c r="Q32" s="3"/>
      <c r="R32" s="11"/>
    </row>
    <row r="33" spans="9:18" x14ac:dyDescent="0.3">
      <c r="K33" s="13" t="s">
        <v>99</v>
      </c>
      <c r="L33" s="18" t="s">
        <v>91</v>
      </c>
      <c r="M33" s="18"/>
      <c r="N33" s="3">
        <v>0</v>
      </c>
      <c r="O33" s="3">
        <v>0</v>
      </c>
      <c r="P33" s="3">
        <v>0</v>
      </c>
      <c r="Q33" s="3">
        <f>SUM(N33:P33)</f>
        <v>0</v>
      </c>
      <c r="R33" s="11"/>
    </row>
    <row r="34" spans="9:18" x14ac:dyDescent="0.3">
      <c r="K34" s="13" t="s">
        <v>100</v>
      </c>
      <c r="L34" s="18" t="s">
        <v>90</v>
      </c>
      <c r="M34" s="18"/>
      <c r="N34" s="3">
        <v>0</v>
      </c>
      <c r="O34" s="3">
        <v>0</v>
      </c>
      <c r="P34" s="3">
        <v>0</v>
      </c>
      <c r="Q34" s="3">
        <f>SUM(N34:P34)</f>
        <v>0</v>
      </c>
      <c r="R34" s="11"/>
    </row>
    <row r="35" spans="9:18" x14ac:dyDescent="0.3">
      <c r="K35" s="13"/>
      <c r="L35" s="12" t="s">
        <v>0</v>
      </c>
      <c r="M35" s="12"/>
      <c r="N35" s="1"/>
      <c r="O35" s="1"/>
      <c r="P35" s="1"/>
      <c r="Q35" s="3"/>
      <c r="R35" s="11"/>
    </row>
    <row r="36" spans="9:18" x14ac:dyDescent="0.3">
      <c r="I36" t="s">
        <v>5</v>
      </c>
      <c r="K36" s="13"/>
      <c r="L36" s="14" t="s">
        <v>93</v>
      </c>
      <c r="M36" s="14"/>
      <c r="N36" s="1"/>
      <c r="O36" s="1"/>
      <c r="P36" s="1"/>
      <c r="Q36" s="3"/>
      <c r="R36" s="11"/>
    </row>
    <row r="37" spans="9:18" x14ac:dyDescent="0.3">
      <c r="K37" s="17" t="s">
        <v>1</v>
      </c>
      <c r="L37" s="15" t="s">
        <v>2</v>
      </c>
      <c r="M37" s="15"/>
      <c r="N37" s="3">
        <v>228348.62</v>
      </c>
      <c r="O37" s="3">
        <v>216197.18</v>
      </c>
      <c r="P37" s="3">
        <v>225684.7</v>
      </c>
      <c r="Q37" s="3">
        <v>2852603.77</v>
      </c>
      <c r="R37" s="11"/>
    </row>
    <row r="38" spans="9:18" x14ac:dyDescent="0.3">
      <c r="K38" s="13" t="s">
        <v>3</v>
      </c>
      <c r="L38" s="15" t="s">
        <v>4</v>
      </c>
      <c r="M38" s="15"/>
      <c r="N38" s="3">
        <v>76494.929999999993</v>
      </c>
      <c r="O38" s="3">
        <v>79494.2</v>
      </c>
      <c r="P38" s="3">
        <v>94377.43</v>
      </c>
      <c r="Q38" s="3">
        <v>855909.53</v>
      </c>
      <c r="R38" s="11"/>
    </row>
    <row r="39" spans="9:18" ht="6.75" customHeight="1" thickBot="1" x14ac:dyDescent="0.35">
      <c r="K39" s="20"/>
      <c r="L39" s="21"/>
      <c r="M39" s="21"/>
      <c r="N39" s="21"/>
      <c r="O39" s="21"/>
      <c r="P39" s="21"/>
      <c r="Q39" s="21"/>
      <c r="R39" s="22"/>
    </row>
  </sheetData>
  <sheetProtection autoFilter="0"/>
  <phoneticPr fontId="1" type="noConversion"/>
  <conditionalFormatting sqref="K11">
    <cfRule type="expression" dxfId="0" priority="1" stopIfTrue="1">
      <formula>SEARCH("error",K11)&gt;0</formula>
    </cfRule>
  </conditionalFormatting>
  <pageMargins left="0.23622047244094491" right="0.23622047244094491" top="0.43307086614173229" bottom="0.43307086614173229" header="0.23622047244094491" footer="0.23622047244094491"/>
  <pageSetup paperSize="9" orientation="landscape" r:id="rId1"/>
  <headerFooter alignWithMargins="0">
    <oddFooter>&amp;L&amp;8&amp;D &amp;T&amp;C&amp;8&amp;Z&amp;F</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24</vt:i4>
      </vt:variant>
    </vt:vector>
  </HeadingPairs>
  <TitlesOfParts>
    <vt:vector size="27" baseType="lpstr">
      <vt:lpstr>Guide</vt:lpstr>
      <vt:lpstr>Params</vt:lpstr>
      <vt:lpstr>iDatabase</vt:lpstr>
      <vt:lpstr>aaCalcs</vt:lpstr>
      <vt:lpstr>aaImported</vt:lpstr>
      <vt:lpstr>aaInputs</vt:lpstr>
      <vt:lpstr>aaLinked</vt:lpstr>
      <vt:lpstr>afbGuide</vt:lpstr>
      <vt:lpstr>afbParams</vt:lpstr>
      <vt:lpstr>iDatabase!afbSheet</vt:lpstr>
      <vt:lpstr>cInputs</vt:lpstr>
      <vt:lpstr>fQtr</vt:lpstr>
      <vt:lpstr>gCreator</vt:lpstr>
      <vt:lpstr>gProcedures</vt:lpstr>
      <vt:lpstr>gPurpose</vt:lpstr>
      <vt:lpstr>kAppName</vt:lpstr>
      <vt:lpstr>kCrosscheckMsg</vt:lpstr>
      <vt:lpstr>kCrosscheckTolerance</vt:lpstr>
      <vt:lpstr>kHideWebToolbar</vt:lpstr>
      <vt:lpstr>kNow</vt:lpstr>
      <vt:lpstr>kOrgName</vt:lpstr>
      <vt:lpstr>kVersion</vt:lpstr>
      <vt:lpstr>iDatabase!Print_Area</vt:lpstr>
      <vt:lpstr>Guide!Print_Titles</vt:lpstr>
      <vt:lpstr>Params!Print_Titles</vt:lpstr>
      <vt:lpstr>Guide!ttSheet</vt:lpstr>
      <vt:lpstr>iDatabase!ttSheet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AbleOwl (SEY) Ltd © 2008</dc:creator>
  <cp:lastModifiedBy>Paul Oulton</cp:lastModifiedBy>
  <cp:lastPrinted>2004-02-12T06:48:31Z</cp:lastPrinted>
  <dcterms:created xsi:type="dcterms:W3CDTF">1997-09-04T02:48:07Z</dcterms:created>
  <dcterms:modified xsi:type="dcterms:W3CDTF">2024-09-08T00:34:29Z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BPwd">
    <vt:lpwstr>abc</vt:lpwstr>
  </property>
</Properties>
</file>